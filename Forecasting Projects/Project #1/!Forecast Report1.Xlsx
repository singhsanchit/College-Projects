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chit.singh\Google Drive\GRE\#Semesters\4th Semester - Fall18\ISDS 526 - Forecasting\Project #1-20181002\"/>
    </mc:Choice>
  </mc:AlternateContent>
  <xr:revisionPtr revIDLastSave="0" documentId="13_ncr:1_{94C4B52E-B670-4258-82D5-2D6F4803C3E0}" xr6:coauthVersionLast="37" xr6:coauthVersionMax="37" xr10:uidLastSave="{00000000-0000-0000-0000-000000000000}"/>
  <bookViews>
    <workbookView xWindow="360" yWindow="315" windowWidth="14940" windowHeight="8640" activeTab="1" xr2:uid="{00000000-000D-0000-FFFF-FFFF00000000}"/>
  </bookViews>
  <sheets>
    <sheet name="Numeric Output" sheetId="1" r:id="rId1"/>
    <sheet name="MHS" sheetId="2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84" i="2" l="1"/>
  <c r="Q78" i="2"/>
  <c r="T78" i="2" s="1"/>
  <c r="Q79" i="2"/>
  <c r="T79" i="2" s="1"/>
  <c r="Q80" i="2"/>
  <c r="T80" i="2" s="1"/>
  <c r="Q81" i="2"/>
  <c r="T81" i="2" s="1"/>
  <c r="Q82" i="2"/>
  <c r="T82" i="2" s="1"/>
  <c r="Q83" i="2"/>
  <c r="T83" i="2" s="1"/>
  <c r="Q84" i="2"/>
  <c r="Q77" i="2"/>
  <c r="P78" i="2"/>
  <c r="P79" i="2"/>
  <c r="P80" i="2"/>
  <c r="P81" i="2"/>
  <c r="P82" i="2"/>
  <c r="P83" i="2"/>
  <c r="P84" i="2"/>
  <c r="P77" i="2"/>
  <c r="R87" i="2" l="1"/>
  <c r="R77" i="2"/>
</calcChain>
</file>

<file path=xl/sharedStrings.xml><?xml version="1.0" encoding="utf-8"?>
<sst xmlns="http://schemas.openxmlformats.org/spreadsheetml/2006/main" count="92" uniqueCount="89">
  <si>
    <t>Name</t>
  </si>
  <si>
    <t>Description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</si>
  <si>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</si>
  <si>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</si>
  <si>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</si>
  <si>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</si>
  <si>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</si>
  <si>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</si>
  <si>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</si>
  <si>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</si>
  <si>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</si>
  <si>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</si>
  <si>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</si>
  <si>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</si>
  <si>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MHS</t>
  </si>
  <si>
    <t>Mobile Home Shipments in USA</t>
  </si>
  <si>
    <t>Forecast Report for MHS</t>
  </si>
  <si>
    <t>Description: Mobile Home Shipments in USA</t>
  </si>
  <si>
    <t>Expert Analysis</t>
  </si>
  <si>
    <t>Using rule-based logic I have narrowed down the choice to exponential smoothing or Box-Jenkins.</t>
  </si>
  <si>
    <t>I will perform an out-of-sample test to select between these two approaches.</t>
  </si>
  <si>
    <t>The cumulative MAD for Exponential smoothing was 9,896.68 and for Box-Jenkins was 3,738.89.</t>
  </si>
  <si>
    <t>The rolling out-of-sample test used a maximum horizon of 8 and generated 36 forecasts for each method.</t>
  </si>
  <si>
    <t>Based on the lower MAD, I will use Box-Jenkins.</t>
  </si>
  <si>
    <t>Model Details</t>
  </si>
  <si>
    <t>Expert selection</t>
  </si>
  <si>
    <t>Box-Jenkins</t>
  </si>
  <si>
    <t>ARIMA(0, 1, 0)*(0, 1, 1)</t>
  </si>
  <si>
    <t>Term</t>
  </si>
  <si>
    <t>Coefficient</t>
  </si>
  <si>
    <t>Std. Error</t>
  </si>
  <si>
    <t>t-Statistic</t>
  </si>
  <si>
    <t>Significance</t>
  </si>
  <si>
    <t>B[4]</t>
  </si>
  <si>
    <t>Within-Sample Statistics</t>
  </si>
  <si>
    <t>Sample size</t>
  </si>
  <si>
    <t>No. parameters</t>
  </si>
  <si>
    <t>Mean</t>
  </si>
  <si>
    <t>Std. deviation</t>
  </si>
  <si>
    <t>R-square</t>
  </si>
  <si>
    <t>Adj. R-square</t>
  </si>
  <si>
    <t>Durbin-Watson</t>
  </si>
  <si>
    <t>Ljung-Box(18)</t>
  </si>
  <si>
    <t>31.9 P=0.98</t>
  </si>
  <si>
    <t>Forecast error</t>
  </si>
  <si>
    <t>BIC</t>
  </si>
  <si>
    <t>MAPE</t>
  </si>
  <si>
    <t>SMAPE</t>
  </si>
  <si>
    <t>RMSE</t>
  </si>
  <si>
    <t>MAD</t>
  </si>
  <si>
    <t>MAD/Mean Ratio</t>
  </si>
  <si>
    <t>Safety Stock</t>
  </si>
  <si>
    <t>Lead time</t>
  </si>
  <si>
    <t>DDLT</t>
  </si>
  <si>
    <t>97.5 Safety</t>
  </si>
  <si>
    <t>Reorder Point</t>
  </si>
  <si>
    <t>DDLT = Demand During Lead Time (i.e., cumulative forecast)</t>
  </si>
  <si>
    <t>Safety Stock = Cumulative confidence limit for lead time</t>
  </si>
  <si>
    <t>Reorder Point = DDLT + Safety Stock</t>
  </si>
  <si>
    <t>Out-of-Sample Rolling Evaluation</t>
  </si>
  <si>
    <t>Out-of-Sample Static Evaluation</t>
  </si>
  <si>
    <t>Date</t>
  </si>
  <si>
    <t>Forecast</t>
  </si>
  <si>
    <t>Actual</t>
  </si>
  <si>
    <t>MAD</t>
  </si>
  <si>
    <t>MAD/Mean Ratio</t>
  </si>
  <si>
    <t>APE</t>
  </si>
  <si>
    <t>MAPE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</si>
  <si>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</si>
  <si>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</si>
  <si>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</si>
  <si>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</si>
  <si>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</si>
  <si>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</si>
  <si>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</si>
  <si>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</si>
  <si>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Date</t>
  </si>
  <si>
    <t>SMAPE</t>
  </si>
  <si>
    <t>GMRAE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</si>
  <si>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</si>
  <si>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</si>
  <si>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</si>
  <si>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</si>
  <si>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</si>
  <si>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</si>
  <si>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</si>
  <si>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</si>
  <si>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Error</t>
  </si>
  <si>
    <t>e/Actual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</si>
</sst>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10"/>
      <color indexed="0"/>
      <name val="Arial"/>
    </font>
    <font>
      <sz val="10"/>
      <color rgb="FFFFC000"/>
      <name val="Arial"/>
      <family val="2"/>
    </font>
    <font>
      <sz val="10"/>
      <color indexed="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5"/>
        <bgColor indexed="0"/>
      </patternFill>
    </fill>
    <fill>
      <patternFill patternType="solid">
        <fgColor indexed="47"/>
        <bgColor indexed="0"/>
      </patternFill>
    </fill>
    <fill>
      <patternFill patternType="solid">
        <fgColor indexed="1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top"/>
    </xf>
    <xf numFmtId="9" fontId="3" fillId="0" borderId="0" applyFont="0" applyFill="0" applyBorder="0" applyAlignment="0" applyProtection="0"/>
  </cellStyleXfs>
  <cellXfs count="10">
    <xf numFmtId="0" fontId="0" fillId="0" borderId="0" xfId="0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2" fillId="6" borderId="0" xfId="0" applyFont="1" applyFill="1">
      <alignment vertical="top"/>
    </xf>
    <xf numFmtId="0" fontId="0" fillId="7" borderId="0" xfId="0" applyFill="1">
      <alignment vertical="top"/>
    </xf>
    <xf numFmtId="9" fontId="0" fillId="7" borderId="0" xfId="1" applyFont="1" applyFill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14</xdr:col>
      <xdr:colOff>600075</xdr:colOff>
      <xdr:row>15</xdr:row>
      <xdr:rowOff>142875</xdr:rowOff>
    </xdr:to>
    <xdr:pic>
      <xdr:nvPicPr>
        <xdr:cNvPr id="1025" name="Picture 1" descr="MHS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75"/>
          <a:ext cx="7362825" cy="25431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showOutlineSymbols="0" workbookViewId="0">
      <selection activeCell="G13" sqref="G13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76832</v>
      </c>
      <c r="D2">
        <v>86495</v>
      </c>
      <c r="E2">
        <v>87185</v>
      </c>
      <c r="F2">
        <v>84046</v>
      </c>
      <c r="G2">
        <v>83378</v>
      </c>
      <c r="H2">
        <v>93041</v>
      </c>
      <c r="I2">
        <v>93731</v>
      </c>
      <c r="J2">
        <v>90591</v>
      </c>
      <c r="K2">
        <v>89924</v>
      </c>
      <c r="L2">
        <v>99587</v>
      </c>
      <c r="M2">
        <v>100277</v>
      </c>
      <c r="N2">
        <v>97137</v>
      </c>
    </row>
  </sheetData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7:T95"/>
  <sheetViews>
    <sheetView tabSelected="1" showOutlineSymbols="0" topLeftCell="A71" workbookViewId="0">
      <selection activeCell="I80" sqref="I80"/>
    </sheetView>
  </sheetViews>
  <sheetFormatPr defaultRowHeight="12.75" x14ac:dyDescent="0.2"/>
  <cols>
    <col min="1" max="2" width="1.5703125" customWidth="1"/>
    <col min="3" max="3" width="14.85546875" customWidth="1"/>
    <col min="4" max="4" width="1.5703125" customWidth="1"/>
    <col min="5" max="5" width="14.85546875" customWidth="1"/>
    <col min="6" max="6" width="1.5703125" customWidth="1"/>
    <col min="7" max="7" width="14.85546875" customWidth="1"/>
    <col min="8" max="8" width="1.5703125" customWidth="1"/>
    <col min="9" max="9" width="14.85546875" customWidth="1"/>
    <col min="10" max="10" width="1.5703125" customWidth="1"/>
    <col min="11" max="11" width="14.85546875" customWidth="1"/>
    <col min="12" max="12" width="1.5703125" customWidth="1"/>
    <col min="13" max="13" width="14.85546875" customWidth="1"/>
    <col min="14" max="14" width="1.5703125" customWidth="1"/>
    <col min="16" max="16" width="12" bestFit="1" customWidth="1"/>
    <col min="18" max="18" width="9.7109375" bestFit="1" customWidth="1"/>
  </cols>
  <sheetData>
    <row r="17" spans="1:15" x14ac:dyDescent="0.2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">
      <c r="A19" s="6"/>
      <c r="B19" s="3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">
      <c r="A23" s="6"/>
      <c r="B23" s="3"/>
      <c r="C23" s="3" t="s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6"/>
      <c r="B24" s="2"/>
      <c r="C24" s="2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">
      <c r="A26" s="6"/>
      <c r="B26" s="3"/>
      <c r="C26" s="3" t="s">
        <v>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6"/>
      <c r="B27" s="2"/>
      <c r="C27" s="2" t="s">
        <v>22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">
      <c r="A29" s="6"/>
      <c r="B29" s="3"/>
      <c r="C29" s="3" t="s">
        <v>23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">
      <c r="A31" s="1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">
      <c r="A33" s="6"/>
      <c r="B33" s="5" t="s">
        <v>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6"/>
      <c r="B34" s="2"/>
      <c r="C34" s="4" t="s">
        <v>26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6"/>
      <c r="B35" s="3"/>
      <c r="C35" s="5" t="s">
        <v>27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6"/>
      <c r="B36" s="4" t="s">
        <v>28</v>
      </c>
      <c r="C36" s="2"/>
      <c r="D36" s="4" t="s">
        <v>29</v>
      </c>
      <c r="E36" s="2"/>
      <c r="F36" s="4" t="s">
        <v>30</v>
      </c>
      <c r="G36" s="2"/>
      <c r="H36" s="4" t="s">
        <v>31</v>
      </c>
      <c r="I36" s="2"/>
      <c r="J36" s="4" t="s">
        <v>32</v>
      </c>
      <c r="K36" s="2"/>
      <c r="L36" s="2"/>
      <c r="M36" s="2"/>
      <c r="N36" s="2"/>
      <c r="O36" s="2"/>
    </row>
    <row r="37" spans="1:15" x14ac:dyDescent="0.2">
      <c r="A37" s="6"/>
      <c r="B37" s="3"/>
      <c r="C37" s="3" t="s">
        <v>33</v>
      </c>
      <c r="D37" s="3"/>
      <c r="E37" s="3">
        <v>0.70909999999999995</v>
      </c>
      <c r="F37" s="3"/>
      <c r="G37" s="3">
        <v>9.2200000000000004E-2</v>
      </c>
      <c r="H37" s="3"/>
      <c r="I37" s="3">
        <v>7.69</v>
      </c>
      <c r="J37" s="3"/>
      <c r="K37" s="3">
        <v>1</v>
      </c>
      <c r="L37" s="3"/>
      <c r="M37" s="3"/>
      <c r="N37" s="3"/>
      <c r="O37" s="3"/>
    </row>
    <row r="38" spans="1:1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">
      <c r="A39" s="1" t="s">
        <v>34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/>
      <c r="B41" s="3"/>
      <c r="C41" s="3" t="s">
        <v>35</v>
      </c>
      <c r="D41" s="3"/>
      <c r="E41" s="3">
        <v>60</v>
      </c>
      <c r="F41" s="3"/>
      <c r="G41" s="3" t="s">
        <v>36</v>
      </c>
      <c r="H41" s="3"/>
      <c r="I41" s="3">
        <v>1</v>
      </c>
      <c r="J41" s="3"/>
      <c r="K41" s="3"/>
      <c r="L41" s="3"/>
      <c r="M41" s="3"/>
      <c r="N41" s="3"/>
      <c r="O41" s="3"/>
    </row>
    <row r="42" spans="1:15" x14ac:dyDescent="0.2">
      <c r="A42" s="6"/>
      <c r="B42" s="2"/>
      <c r="C42" s="2" t="s">
        <v>37</v>
      </c>
      <c r="D42" s="2"/>
      <c r="E42" s="2">
        <v>59975</v>
      </c>
      <c r="F42" s="2"/>
      <c r="G42" s="2" t="s">
        <v>38</v>
      </c>
      <c r="H42" s="2"/>
      <c r="I42" s="2">
        <v>11479.6</v>
      </c>
      <c r="J42" s="2"/>
      <c r="K42" s="2"/>
      <c r="L42" s="2"/>
      <c r="M42" s="2"/>
      <c r="N42" s="2"/>
      <c r="O42" s="2"/>
    </row>
    <row r="43" spans="1:15" x14ac:dyDescent="0.2">
      <c r="A43" s="6"/>
      <c r="B43" s="3"/>
      <c r="C43" s="3" t="s">
        <v>39</v>
      </c>
      <c r="D43" s="3"/>
      <c r="E43" s="3">
        <v>0.86</v>
      </c>
      <c r="F43" s="3"/>
      <c r="G43" s="3" t="s">
        <v>40</v>
      </c>
      <c r="H43" s="3"/>
      <c r="I43" s="3">
        <v>0.86</v>
      </c>
      <c r="J43" s="3"/>
      <c r="K43" s="3"/>
      <c r="L43" s="3"/>
      <c r="M43" s="3"/>
      <c r="N43" s="3"/>
      <c r="O43" s="3"/>
    </row>
    <row r="44" spans="1:15" x14ac:dyDescent="0.2">
      <c r="A44" s="6"/>
      <c r="B44" s="2"/>
      <c r="C44" s="2" t="s">
        <v>41</v>
      </c>
      <c r="D44" s="2"/>
      <c r="E44" s="2">
        <v>1.79</v>
      </c>
      <c r="F44" s="2"/>
      <c r="G44" s="7" t="s">
        <v>42</v>
      </c>
      <c r="H44" s="2"/>
      <c r="I44" s="7" t="s">
        <v>43</v>
      </c>
      <c r="J44" s="2"/>
      <c r="K44" s="2"/>
      <c r="L44" s="2"/>
      <c r="M44" s="2"/>
      <c r="N44" s="2"/>
      <c r="O44" s="2"/>
    </row>
    <row r="45" spans="1:15" x14ac:dyDescent="0.2">
      <c r="A45" s="6"/>
      <c r="B45" s="3"/>
      <c r="C45" s="3" t="s">
        <v>44</v>
      </c>
      <c r="D45" s="3"/>
      <c r="E45" s="3">
        <v>4282.8999999999996</v>
      </c>
      <c r="F45" s="3"/>
      <c r="G45" s="3" t="s">
        <v>45</v>
      </c>
      <c r="H45" s="3"/>
      <c r="I45" s="3">
        <v>4394.47</v>
      </c>
      <c r="J45" s="3"/>
      <c r="K45" s="3"/>
      <c r="L45" s="3"/>
      <c r="M45" s="3"/>
      <c r="N45" s="3"/>
      <c r="O45" s="3"/>
    </row>
    <row r="46" spans="1:15" x14ac:dyDescent="0.2">
      <c r="A46" s="6"/>
      <c r="B46" s="2"/>
      <c r="C46" s="2" t="s">
        <v>46</v>
      </c>
      <c r="D46" s="2"/>
      <c r="E46" s="2">
        <v>5.57</v>
      </c>
      <c r="F46" s="2"/>
      <c r="G46" s="2" t="s">
        <v>47</v>
      </c>
      <c r="H46" s="2"/>
      <c r="I46" s="2">
        <v>5.61</v>
      </c>
      <c r="J46" s="2"/>
      <c r="K46" s="2"/>
      <c r="L46" s="2"/>
      <c r="M46" s="2"/>
      <c r="N46" s="2"/>
      <c r="O46" s="2"/>
    </row>
    <row r="47" spans="1:15" x14ac:dyDescent="0.2">
      <c r="A47" s="6"/>
      <c r="B47" s="3"/>
      <c r="C47" s="3" t="s">
        <v>48</v>
      </c>
      <c r="D47" s="3"/>
      <c r="E47" s="3">
        <v>4247.0600000000004</v>
      </c>
      <c r="F47" s="3"/>
      <c r="G47" s="3" t="s">
        <v>49</v>
      </c>
      <c r="H47" s="3"/>
      <c r="I47" s="3">
        <v>3291.44</v>
      </c>
      <c r="J47" s="3"/>
      <c r="K47" s="3"/>
      <c r="L47" s="3"/>
      <c r="M47" s="3"/>
      <c r="N47" s="3"/>
      <c r="O47" s="3"/>
    </row>
    <row r="48" spans="1:15" x14ac:dyDescent="0.2">
      <c r="A48" s="6"/>
      <c r="B48" s="2"/>
      <c r="C48" s="2" t="s">
        <v>50</v>
      </c>
      <c r="D48" s="2"/>
      <c r="E48" s="2">
        <v>0.05</v>
      </c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1" t="s">
        <v>51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">
      <c r="A52" s="6"/>
      <c r="B52" s="5" t="s">
        <v>52</v>
      </c>
      <c r="C52" s="3"/>
      <c r="D52" s="5" t="s">
        <v>53</v>
      </c>
      <c r="E52" s="3"/>
      <c r="F52" s="5" t="s">
        <v>54</v>
      </c>
      <c r="G52" s="3"/>
      <c r="H52" s="5" t="s">
        <v>55</v>
      </c>
      <c r="I52" s="3"/>
      <c r="J52" s="3"/>
      <c r="K52" s="3"/>
      <c r="L52" s="3"/>
      <c r="M52" s="3"/>
      <c r="N52" s="3"/>
      <c r="O52" s="3"/>
    </row>
    <row r="53" spans="1:15" x14ac:dyDescent="0.2">
      <c r="A53" s="6"/>
      <c r="B53" s="2"/>
      <c r="C53" s="2">
        <v>1</v>
      </c>
      <c r="D53" s="2"/>
      <c r="E53" s="2">
        <v>76832.38</v>
      </c>
      <c r="F53" s="2"/>
      <c r="G53" s="2">
        <v>8694.23</v>
      </c>
      <c r="H53" s="2"/>
      <c r="I53" s="2">
        <v>85526.61</v>
      </c>
      <c r="J53" s="2"/>
      <c r="K53" s="2"/>
      <c r="L53" s="2"/>
      <c r="M53" s="2"/>
      <c r="N53" s="2"/>
      <c r="O53" s="2"/>
    </row>
    <row r="54" spans="1:15" x14ac:dyDescent="0.2">
      <c r="A54" s="6"/>
      <c r="B54" s="3"/>
      <c r="C54" s="3">
        <v>2</v>
      </c>
      <c r="D54" s="3"/>
      <c r="E54" s="3">
        <v>163327.85999999999</v>
      </c>
      <c r="F54" s="3"/>
      <c r="G54" s="3">
        <v>19440.89</v>
      </c>
      <c r="H54" s="3"/>
      <c r="I54" s="3">
        <v>182768.75</v>
      </c>
      <c r="J54" s="3"/>
      <c r="K54" s="3"/>
      <c r="L54" s="3"/>
      <c r="M54" s="3"/>
      <c r="N54" s="3"/>
      <c r="O54" s="3"/>
    </row>
    <row r="55" spans="1:15" x14ac:dyDescent="0.2">
      <c r="A55" s="6"/>
      <c r="B55" s="2"/>
      <c r="C55" s="4">
        <v>3</v>
      </c>
      <c r="D55" s="2"/>
      <c r="E55" s="4">
        <v>250513.15</v>
      </c>
      <c r="F55" s="2"/>
      <c r="G55" s="4">
        <v>32530.83</v>
      </c>
      <c r="H55" s="2"/>
      <c r="I55" s="4">
        <v>283043.98</v>
      </c>
      <c r="J55" s="2"/>
      <c r="K55" s="4"/>
      <c r="L55" s="2"/>
      <c r="M55" s="2"/>
      <c r="N55" s="2"/>
      <c r="O55" s="2"/>
    </row>
    <row r="56" spans="1:15" x14ac:dyDescent="0.2">
      <c r="A56" s="6"/>
      <c r="B56" s="3"/>
      <c r="C56" s="3">
        <v>4</v>
      </c>
      <c r="D56" s="3"/>
      <c r="E56" s="3">
        <v>334558.77</v>
      </c>
      <c r="F56" s="3"/>
      <c r="G56" s="3">
        <v>47620.25</v>
      </c>
      <c r="H56" s="3"/>
      <c r="I56" s="3">
        <v>382179.02</v>
      </c>
      <c r="J56" s="3"/>
      <c r="K56" s="3"/>
      <c r="L56" s="3"/>
      <c r="M56" s="3"/>
      <c r="N56" s="3"/>
      <c r="O56" s="3"/>
    </row>
    <row r="57" spans="1:15" x14ac:dyDescent="0.2">
      <c r="A57" s="6"/>
      <c r="B57" s="2"/>
      <c r="C57" s="2">
        <v>5</v>
      </c>
      <c r="D57" s="2"/>
      <c r="E57" s="2">
        <v>417936.77</v>
      </c>
      <c r="F57" s="2"/>
      <c r="G57" s="2">
        <v>66209.83</v>
      </c>
      <c r="H57" s="2"/>
      <c r="I57" s="2">
        <v>484146.6</v>
      </c>
      <c r="J57" s="2"/>
      <c r="K57" s="2"/>
      <c r="L57" s="2"/>
      <c r="M57" s="2"/>
      <c r="N57" s="2"/>
      <c r="O57" s="2"/>
    </row>
    <row r="58" spans="1:15" x14ac:dyDescent="0.2">
      <c r="A58" s="6"/>
      <c r="B58" s="3"/>
      <c r="C58" s="3">
        <v>6</v>
      </c>
      <c r="D58" s="3"/>
      <c r="E58" s="3">
        <v>510977.86</v>
      </c>
      <c r="F58" s="3"/>
      <c r="G58" s="3">
        <v>87512.02</v>
      </c>
      <c r="H58" s="3"/>
      <c r="I58" s="3">
        <v>598489.89</v>
      </c>
      <c r="J58" s="3"/>
      <c r="K58" s="3"/>
      <c r="L58" s="3"/>
      <c r="M58" s="3"/>
      <c r="N58" s="3"/>
      <c r="O58" s="3"/>
    </row>
    <row r="59" spans="1:15" x14ac:dyDescent="0.2">
      <c r="A59" s="6"/>
      <c r="B59" s="2"/>
      <c r="C59" s="2">
        <v>7</v>
      </c>
      <c r="D59" s="2"/>
      <c r="E59" s="2">
        <v>604708.77</v>
      </c>
      <c r="F59" s="2"/>
      <c r="G59" s="2">
        <v>111101.16</v>
      </c>
      <c r="H59" s="2"/>
      <c r="I59" s="2">
        <v>715809.94</v>
      </c>
      <c r="J59" s="2"/>
      <c r="K59" s="2"/>
      <c r="L59" s="2"/>
      <c r="M59" s="2"/>
      <c r="N59" s="2"/>
      <c r="O59" s="2"/>
    </row>
    <row r="60" spans="1:15" x14ac:dyDescent="0.2">
      <c r="A60" s="6"/>
      <c r="B60" s="3"/>
      <c r="C60" s="3">
        <v>8</v>
      </c>
      <c r="D60" s="3"/>
      <c r="E60" s="3">
        <v>695300.01</v>
      </c>
      <c r="F60" s="3"/>
      <c r="G60" s="3">
        <v>136715.12</v>
      </c>
      <c r="H60" s="3"/>
      <c r="I60" s="3">
        <v>832015.13</v>
      </c>
      <c r="J60" s="3"/>
      <c r="K60" s="3"/>
      <c r="L60" s="3"/>
      <c r="M60" s="3"/>
      <c r="N60" s="3"/>
      <c r="O60" s="3"/>
    </row>
    <row r="61" spans="1:15" x14ac:dyDescent="0.2">
      <c r="A61" s="6"/>
      <c r="B61" s="2"/>
      <c r="C61" s="2">
        <v>9</v>
      </c>
      <c r="D61" s="2"/>
      <c r="E61" s="2">
        <v>785223.62</v>
      </c>
      <c r="F61" s="2"/>
      <c r="G61" s="2">
        <v>165587.4</v>
      </c>
      <c r="H61" s="2"/>
      <c r="I61" s="2">
        <v>950811.03</v>
      </c>
      <c r="J61" s="2"/>
      <c r="K61" s="2"/>
      <c r="L61" s="2"/>
      <c r="M61" s="2"/>
      <c r="N61" s="2"/>
      <c r="O61" s="2"/>
    </row>
    <row r="62" spans="1:15" x14ac:dyDescent="0.2">
      <c r="A62" s="6"/>
      <c r="B62" s="3"/>
      <c r="C62" s="3">
        <v>10</v>
      </c>
      <c r="D62" s="3"/>
      <c r="E62" s="3">
        <v>884810.33</v>
      </c>
      <c r="F62" s="3"/>
      <c r="G62" s="3">
        <v>197246.68</v>
      </c>
      <c r="H62" s="3"/>
      <c r="I62" s="3">
        <v>1082057.02</v>
      </c>
      <c r="J62" s="3"/>
      <c r="K62" s="3"/>
      <c r="L62" s="3"/>
      <c r="M62" s="3"/>
      <c r="N62" s="3"/>
      <c r="O62" s="3"/>
    </row>
    <row r="63" spans="1:15" x14ac:dyDescent="0.2">
      <c r="A63" s="6"/>
      <c r="B63" s="2"/>
      <c r="C63" s="2">
        <v>11</v>
      </c>
      <c r="D63" s="2"/>
      <c r="E63" s="2">
        <v>985086.86</v>
      </c>
      <c r="F63" s="2"/>
      <c r="G63" s="2">
        <v>231366.63</v>
      </c>
      <c r="H63" s="2"/>
      <c r="I63" s="2">
        <v>1216453.49</v>
      </c>
      <c r="J63" s="2"/>
      <c r="K63" s="2"/>
      <c r="L63" s="2"/>
      <c r="M63" s="2"/>
      <c r="N63" s="2"/>
      <c r="O63" s="2"/>
    </row>
    <row r="64" spans="1:15" x14ac:dyDescent="0.2">
      <c r="A64" s="6"/>
      <c r="B64" s="3"/>
      <c r="C64" s="3">
        <v>12</v>
      </c>
      <c r="D64" s="3"/>
      <c r="E64" s="3">
        <v>1082223.71</v>
      </c>
      <c r="F64" s="3"/>
      <c r="G64" s="3">
        <v>267713.03999999998</v>
      </c>
      <c r="H64" s="3"/>
      <c r="I64" s="3">
        <v>1349936.75</v>
      </c>
      <c r="J64" s="3"/>
      <c r="K64" s="3"/>
      <c r="L64" s="3"/>
      <c r="M64" s="3"/>
      <c r="N64" s="3"/>
      <c r="O64" s="3"/>
    </row>
    <row r="65" spans="1:20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20" x14ac:dyDescent="0.2">
      <c r="A66" s="6"/>
      <c r="B66" s="3" t="s">
        <v>56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20" x14ac:dyDescent="0.2">
      <c r="A67" s="6"/>
      <c r="B67" s="2" t="s">
        <v>57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20" x14ac:dyDescent="0.2">
      <c r="A68" s="6"/>
      <c r="B68" s="3" t="s">
        <v>58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20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20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20" x14ac:dyDescent="0.2">
      <c r="A71" s="1" t="s">
        <v>59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20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20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20" x14ac:dyDescent="0.2">
      <c r="A74" s="1" t="s">
        <v>60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20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20" x14ac:dyDescent="0.2">
      <c r="A76" s="6"/>
      <c r="B76" s="5" t="s">
        <v>61</v>
      </c>
      <c r="C76" s="3"/>
      <c r="D76" s="3"/>
      <c r="E76" s="5" t="s">
        <v>62</v>
      </c>
      <c r="F76" s="3"/>
      <c r="G76" s="5" t="s">
        <v>63</v>
      </c>
      <c r="H76" s="3"/>
      <c r="I76" s="5" t="s">
        <v>64</v>
      </c>
      <c r="J76" s="3"/>
      <c r="K76" s="5" t="s">
        <v>65</v>
      </c>
      <c r="L76" s="3"/>
      <c r="M76" s="5" t="s">
        <v>66</v>
      </c>
      <c r="N76" s="3"/>
      <c r="O76" s="5" t="s">
        <v>67</v>
      </c>
      <c r="P76" s="3" t="s">
        <v>87</v>
      </c>
      <c r="Q76" t="s">
        <v>87</v>
      </c>
      <c r="R76" t="s">
        <v>48</v>
      </c>
      <c r="T76" t="s">
        <v>88</v>
      </c>
    </row>
    <row r="77" spans="1:20" x14ac:dyDescent="0.2">
      <c r="A77" s="6"/>
      <c r="B77" s="2"/>
      <c r="C77" s="2" t="s">
        <v>68</v>
      </c>
      <c r="D77" s="2"/>
      <c r="E77" s="2">
        <v>76832.38</v>
      </c>
      <c r="F77" s="2"/>
      <c r="G77" s="2">
        <v>79200</v>
      </c>
      <c r="H77" s="2"/>
      <c r="I77" s="2">
        <v>2367.62</v>
      </c>
      <c r="J77" s="2"/>
      <c r="K77" s="2">
        <v>0.03</v>
      </c>
      <c r="L77" s="2"/>
      <c r="M77" s="2">
        <v>2.99</v>
      </c>
      <c r="N77" s="2"/>
      <c r="O77" s="2">
        <v>2.99</v>
      </c>
      <c r="P77">
        <f>(ABS(G77-E77))^2</f>
        <v>5605624.4643999776</v>
      </c>
      <c r="Q77">
        <f>(ABS(G77-E77))</f>
        <v>2367.6199999999953</v>
      </c>
      <c r="R77" s="8">
        <f>SQRT(AVERAGE(P78:P84))</f>
        <v>32148.928555393348</v>
      </c>
    </row>
    <row r="78" spans="1:20" x14ac:dyDescent="0.2">
      <c r="A78" s="6"/>
      <c r="B78" s="3"/>
      <c r="C78" s="3" t="s">
        <v>69</v>
      </c>
      <c r="D78" s="3"/>
      <c r="E78" s="3">
        <v>86495.47</v>
      </c>
      <c r="F78" s="3"/>
      <c r="G78" s="3">
        <v>86800</v>
      </c>
      <c r="H78" s="3"/>
      <c r="I78" s="3">
        <v>1336.07</v>
      </c>
      <c r="J78" s="3"/>
      <c r="K78" s="3">
        <v>0.02</v>
      </c>
      <c r="L78" s="3"/>
      <c r="M78" s="3">
        <v>0.35</v>
      </c>
      <c r="N78" s="3"/>
      <c r="O78" s="3">
        <v>1.67</v>
      </c>
      <c r="P78">
        <f>(ABS(G78-E78))^2</f>
        <v>92738.52089999929</v>
      </c>
      <c r="Q78">
        <f>(ABS(G78-E78))</f>
        <v>304.52999999999884</v>
      </c>
      <c r="T78">
        <f>Q78/G78</f>
        <v>3.5084101382488347E-3</v>
      </c>
    </row>
    <row r="79" spans="1:20" x14ac:dyDescent="0.2">
      <c r="A79" s="6"/>
      <c r="B79" s="2"/>
      <c r="C79" s="2" t="s">
        <v>70</v>
      </c>
      <c r="D79" s="2"/>
      <c r="E79" s="2">
        <v>87185.29</v>
      </c>
      <c r="F79" s="2"/>
      <c r="G79" s="2">
        <v>87600</v>
      </c>
      <c r="H79" s="2"/>
      <c r="I79" s="2">
        <v>1028.95</v>
      </c>
      <c r="J79" s="2"/>
      <c r="K79" s="2">
        <v>0.01</v>
      </c>
      <c r="L79" s="2"/>
      <c r="M79" s="2">
        <v>0.47</v>
      </c>
      <c r="N79" s="2"/>
      <c r="O79" s="2">
        <v>1.27</v>
      </c>
      <c r="P79">
        <f>(ABS(G79-E79))^2</f>
        <v>171984.38410000532</v>
      </c>
      <c r="Q79">
        <f>(ABS(G79-E79))</f>
        <v>414.7100000000064</v>
      </c>
      <c r="T79">
        <f>Q79/G79</f>
        <v>4.7341324200913977E-3</v>
      </c>
    </row>
    <row r="80" spans="1:20" x14ac:dyDescent="0.2">
      <c r="A80" s="6"/>
      <c r="B80" s="3"/>
      <c r="C80" s="3" t="s">
        <v>71</v>
      </c>
      <c r="D80" s="3"/>
      <c r="E80" s="3">
        <v>84045.62</v>
      </c>
      <c r="F80" s="3"/>
      <c r="G80" s="3">
        <v>86400</v>
      </c>
      <c r="H80" s="3"/>
      <c r="I80" s="3">
        <v>1360.31</v>
      </c>
      <c r="J80" s="3"/>
      <c r="K80" s="3">
        <v>0.02</v>
      </c>
      <c r="L80" s="3"/>
      <c r="M80" s="3">
        <v>2.72</v>
      </c>
      <c r="N80" s="3"/>
      <c r="O80" s="3">
        <v>1.63</v>
      </c>
      <c r="P80">
        <f>(ABS(G80-E80))^2</f>
        <v>5543105.184400022</v>
      </c>
      <c r="Q80">
        <f>(ABS(G80-E80))</f>
        <v>2354.3800000000047</v>
      </c>
      <c r="T80">
        <f>Q80/G80</f>
        <v>2.7249768518518572E-2</v>
      </c>
    </row>
    <row r="81" spans="1:20" x14ac:dyDescent="0.2">
      <c r="A81" s="6"/>
      <c r="B81" s="2"/>
      <c r="C81" s="2" t="s">
        <v>72</v>
      </c>
      <c r="D81" s="2"/>
      <c r="E81" s="2">
        <v>83378</v>
      </c>
      <c r="F81" s="2"/>
      <c r="G81" s="2">
        <v>40400</v>
      </c>
      <c r="H81" s="2"/>
      <c r="I81" s="2">
        <v>9683.85</v>
      </c>
      <c r="J81" s="2"/>
      <c r="K81" s="2">
        <v>0.24</v>
      </c>
      <c r="L81" s="2"/>
      <c r="M81" s="2">
        <v>106.38</v>
      </c>
      <c r="N81" s="2"/>
      <c r="O81" s="2">
        <v>22.58</v>
      </c>
      <c r="P81">
        <f>(ABS(G81-E81))^2</f>
        <v>1847108484</v>
      </c>
      <c r="Q81">
        <f>(ABS(G81-E81))</f>
        <v>42978</v>
      </c>
      <c r="T81">
        <f>Q81/G81</f>
        <v>1.0638118811881188</v>
      </c>
    </row>
    <row r="82" spans="1:20" x14ac:dyDescent="0.2">
      <c r="A82" s="6"/>
      <c r="B82" s="3"/>
      <c r="C82" s="3" t="s">
        <v>73</v>
      </c>
      <c r="D82" s="3"/>
      <c r="E82" s="3">
        <v>93041.09</v>
      </c>
      <c r="F82" s="3"/>
      <c r="G82" s="3">
        <v>52300</v>
      </c>
      <c r="H82" s="3"/>
      <c r="I82" s="3">
        <v>14860.05</v>
      </c>
      <c r="J82" s="3"/>
      <c r="K82" s="3">
        <v>0.28000000000000003</v>
      </c>
      <c r="L82" s="3"/>
      <c r="M82" s="3">
        <v>77.900000000000006</v>
      </c>
      <c r="N82" s="3"/>
      <c r="O82" s="3">
        <v>31.8</v>
      </c>
      <c r="P82">
        <f>(ABS(G82-E82))^2</f>
        <v>1659836414.3880997</v>
      </c>
      <c r="Q82">
        <f>(ABS(G82-E82))</f>
        <v>40741.089999999997</v>
      </c>
      <c r="T82">
        <f>Q82/G82</f>
        <v>0.77898833652007637</v>
      </c>
    </row>
    <row r="83" spans="1:20" x14ac:dyDescent="0.2">
      <c r="A83" s="6"/>
      <c r="B83" s="2"/>
      <c r="C83" s="2" t="s">
        <v>74</v>
      </c>
      <c r="D83" s="2"/>
      <c r="E83" s="2">
        <v>93730.91</v>
      </c>
      <c r="F83" s="2"/>
      <c r="G83" s="2">
        <v>52200</v>
      </c>
      <c r="H83" s="2"/>
      <c r="I83" s="2">
        <v>18670.18</v>
      </c>
      <c r="J83" s="2"/>
      <c r="K83" s="2">
        <v>0.36</v>
      </c>
      <c r="L83" s="2"/>
      <c r="M83" s="2">
        <v>79.56</v>
      </c>
      <c r="N83" s="2"/>
      <c r="O83" s="2">
        <v>38.630000000000003</v>
      </c>
      <c r="P83">
        <f>(ABS(G83-E83))^2</f>
        <v>1724816485.4281003</v>
      </c>
      <c r="Q83">
        <f>(ABS(G83-E83))</f>
        <v>41530.910000000003</v>
      </c>
      <c r="T83">
        <f>Q83/G83</f>
        <v>0.79561130268199243</v>
      </c>
    </row>
    <row r="84" spans="1:20" x14ac:dyDescent="0.2">
      <c r="A84" s="6"/>
      <c r="B84" s="3"/>
      <c r="C84" s="3" t="s">
        <v>75</v>
      </c>
      <c r="D84" s="3"/>
      <c r="E84" s="3">
        <v>90591.23</v>
      </c>
      <c r="F84" s="3"/>
      <c r="G84" s="3">
        <v>45900</v>
      </c>
      <c r="H84" s="3"/>
      <c r="I84" s="3">
        <v>21922.81</v>
      </c>
      <c r="J84" s="3"/>
      <c r="K84" s="3">
        <v>0.48</v>
      </c>
      <c r="L84" s="3"/>
      <c r="M84" s="3">
        <v>97.37</v>
      </c>
      <c r="N84" s="3"/>
      <c r="O84" s="3">
        <v>45.97</v>
      </c>
      <c r="P84">
        <f>(ABS(G84-E84))^2</f>
        <v>1997306038.9128997</v>
      </c>
      <c r="Q84">
        <f>(ABS(G84-E84))</f>
        <v>44691.229999999996</v>
      </c>
      <c r="T84">
        <f>Q84/G84</f>
        <v>0.9736651416122003</v>
      </c>
    </row>
    <row r="85" spans="1:20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20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R86" t="s">
        <v>46</v>
      </c>
    </row>
    <row r="87" spans="1:20" x14ac:dyDescent="0.2">
      <c r="A87" s="6"/>
      <c r="B87" s="5" t="s">
        <v>76</v>
      </c>
      <c r="C87" s="3"/>
      <c r="D87" s="3"/>
      <c r="E87" s="5" t="s">
        <v>77</v>
      </c>
      <c r="F87" s="3"/>
      <c r="G87" s="5" t="s">
        <v>78</v>
      </c>
      <c r="H87" s="3"/>
      <c r="I87" s="3"/>
      <c r="J87" s="3"/>
      <c r="K87" s="3"/>
      <c r="L87" s="3"/>
      <c r="M87" s="3"/>
      <c r="N87" s="3"/>
      <c r="O87" s="3"/>
      <c r="R87" s="9">
        <f>AVERAGE(T78:T84)</f>
        <v>0.52108128186846381</v>
      </c>
    </row>
    <row r="88" spans="1:20" x14ac:dyDescent="0.2">
      <c r="A88" s="6"/>
      <c r="B88" s="2"/>
      <c r="C88" s="2" t="s">
        <v>79</v>
      </c>
      <c r="D88" s="2"/>
      <c r="E88" s="2">
        <v>3.03</v>
      </c>
      <c r="F88" s="2"/>
      <c r="G88" s="2">
        <v>1.39</v>
      </c>
      <c r="H88" s="2"/>
      <c r="I88" s="2"/>
      <c r="J88" s="2"/>
      <c r="K88" s="2"/>
      <c r="L88" s="2"/>
      <c r="M88" s="2"/>
      <c r="N88" s="2"/>
      <c r="O88" s="2"/>
    </row>
    <row r="89" spans="1:20" x14ac:dyDescent="0.2">
      <c r="A89" s="6"/>
      <c r="B89" s="3"/>
      <c r="C89" s="3" t="s">
        <v>80</v>
      </c>
      <c r="D89" s="3"/>
      <c r="E89" s="3">
        <v>1.69</v>
      </c>
      <c r="F89" s="3"/>
      <c r="G89" s="3">
        <v>0.21</v>
      </c>
      <c r="H89" s="3"/>
      <c r="I89" s="3"/>
      <c r="J89" s="3"/>
      <c r="K89" s="3"/>
      <c r="L89" s="3"/>
      <c r="M89" s="3"/>
      <c r="N89" s="3"/>
      <c r="O89" s="3"/>
    </row>
    <row r="90" spans="1:20" x14ac:dyDescent="0.2">
      <c r="A90" s="6"/>
      <c r="B90" s="2"/>
      <c r="C90" s="2" t="s">
        <v>81</v>
      </c>
      <c r="D90" s="2"/>
      <c r="E90" s="2">
        <v>1.29</v>
      </c>
      <c r="F90" s="2"/>
      <c r="G90" s="2">
        <v>0.12</v>
      </c>
      <c r="H90" s="2"/>
      <c r="I90" s="2"/>
      <c r="J90" s="2"/>
      <c r="K90" s="2"/>
      <c r="L90" s="2"/>
      <c r="M90" s="2"/>
      <c r="N90" s="2"/>
      <c r="O90" s="2"/>
    </row>
    <row r="91" spans="1:20" x14ac:dyDescent="0.2">
      <c r="A91" s="6"/>
      <c r="B91" s="3"/>
      <c r="C91" s="3" t="s">
        <v>82</v>
      </c>
      <c r="D91" s="3"/>
      <c r="E91" s="3">
        <v>1.66</v>
      </c>
      <c r="F91" s="3"/>
      <c r="G91" s="3">
        <v>0.15</v>
      </c>
      <c r="H91" s="3"/>
      <c r="I91" s="3"/>
      <c r="J91" s="3"/>
      <c r="K91" s="3"/>
      <c r="L91" s="3"/>
      <c r="M91" s="3"/>
      <c r="N91" s="3"/>
      <c r="O91" s="3"/>
    </row>
    <row r="92" spans="1:20" x14ac:dyDescent="0.2">
      <c r="A92" s="6"/>
      <c r="B92" s="2"/>
      <c r="C92" s="2" t="s">
        <v>83</v>
      </c>
      <c r="D92" s="2"/>
      <c r="E92" s="2">
        <v>15.21</v>
      </c>
      <c r="F92" s="2"/>
      <c r="G92" s="2">
        <v>0.22</v>
      </c>
      <c r="H92" s="2"/>
      <c r="I92" s="2"/>
      <c r="J92" s="2"/>
      <c r="K92" s="2"/>
      <c r="L92" s="2"/>
      <c r="M92" s="2"/>
      <c r="N92" s="2"/>
      <c r="O92" s="2"/>
    </row>
    <row r="93" spans="1:20" x14ac:dyDescent="0.2">
      <c r="A93" s="6"/>
      <c r="B93" s="3"/>
      <c r="C93" s="3" t="s">
        <v>84</v>
      </c>
      <c r="D93" s="3"/>
      <c r="E93" s="3">
        <v>22.02</v>
      </c>
      <c r="F93" s="3"/>
      <c r="G93" s="3">
        <v>0.31</v>
      </c>
      <c r="H93" s="3"/>
      <c r="I93" s="3"/>
      <c r="J93" s="3"/>
      <c r="K93" s="3"/>
      <c r="L93" s="3"/>
      <c r="M93" s="3"/>
      <c r="N93" s="3"/>
      <c r="O93" s="3"/>
    </row>
    <row r="94" spans="1:20" x14ac:dyDescent="0.2">
      <c r="A94" s="6"/>
      <c r="B94" s="2"/>
      <c r="C94" s="2" t="s">
        <v>85</v>
      </c>
      <c r="D94" s="2"/>
      <c r="E94" s="2">
        <v>27.01</v>
      </c>
      <c r="F94" s="2"/>
      <c r="G94" s="2">
        <v>0.4</v>
      </c>
      <c r="H94" s="2"/>
      <c r="I94" s="2"/>
      <c r="J94" s="2"/>
      <c r="K94" s="2"/>
      <c r="L94" s="2"/>
      <c r="M94" s="2"/>
      <c r="N94" s="2"/>
      <c r="O94" s="2"/>
    </row>
    <row r="95" spans="1:20" x14ac:dyDescent="0.2">
      <c r="A95" s="6"/>
      <c r="B95" s="3"/>
      <c r="C95" s="3" t="s">
        <v>86</v>
      </c>
      <c r="D95" s="3"/>
      <c r="E95" s="3">
        <v>31.82</v>
      </c>
      <c r="F95" s="3"/>
      <c r="G95" s="3">
        <v>0.46</v>
      </c>
      <c r="H95" s="3"/>
      <c r="I95" s="3"/>
      <c r="J95" s="3"/>
      <c r="K95" s="3"/>
      <c r="L95" s="3"/>
      <c r="M95" s="3"/>
      <c r="N95" s="3"/>
      <c r="O95" s="3"/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Numeric Output</vt:lpstr>
      <vt:lpstr>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Forecast Pro</dc:creator>
  <cp:lastModifiedBy>sanchit.singh</cp:lastModifiedBy>
  <dcterms:created xsi:type="dcterms:W3CDTF">2018-10-14T21:09:54Z</dcterms:created>
  <dcterms:modified xsi:type="dcterms:W3CDTF">2018-10-15T18:47:47Z</dcterms:modified>
</cp:coreProperties>
</file>