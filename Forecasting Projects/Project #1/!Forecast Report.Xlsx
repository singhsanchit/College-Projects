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nchit.singh\Google Drive\GRE\#Semesters\4th Semester - Fall18\ISDS 526 - Forecasting\Project #1-20181002\"/>
    </mc:Choice>
  </mc:AlternateContent>
  <xr:revisionPtr revIDLastSave="0" documentId="13_ncr:1_{DA934790-CEF9-4BEC-AD01-0D7892D06E62}" xr6:coauthVersionLast="37" xr6:coauthVersionMax="37" xr10:uidLastSave="{00000000-0000-0000-0000-000000000000}"/>
  <bookViews>
    <workbookView xWindow="360" yWindow="315" windowWidth="14940" windowHeight="8640" activeTab="1" xr2:uid="{00000000-000D-0000-FFFF-FFFF00000000}"/>
  </bookViews>
  <sheets>
    <sheet name="Numeric Output" sheetId="1" r:id="rId1"/>
    <sheet name="MHS" sheetId="2" r:id="rId2"/>
  </sheets>
  <calcPr calcId="179021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R73" i="2" l="1"/>
  <c r="P74" i="2"/>
  <c r="P73" i="2"/>
</calcChain>
</file>

<file path=xl/sharedStrings.xml><?xml version="1.0" encoding="utf-8"?>
<sst xmlns="http://schemas.openxmlformats.org/spreadsheetml/2006/main" count="70" uniqueCount="69">
  <si>
    <t>Name</t>
  </si>
  <si>
    <t>Description</t>
  </si>
  <si>
    <t>2004-Q3</t>
  </si>
  <si>
    <t>2004-Q4</t>
  </si>
  <si>
    <t>2005-Q1</t>
  </si>
  <si>
    <t>MHS</t>
  </si>
  <si>
    <t>Mobile Home Shipments in USA</t>
  </si>
  <si>
    <t>Forecast Report for MHS</t>
  </si>
  <si>
    <t>Description: Mobile Home Shipments in USA</t>
  </si>
  <si>
    <t>Expert Analysis</t>
  </si>
  <si>
    <t>Using rule-based logic I have narrowed down the choice to exponential smoothing or Box-Jenkins.</t>
  </si>
  <si>
    <t>I will perform an out-of-sample test to select between these two approaches.</t>
  </si>
  <si>
    <t>The cumulative MAD for Exponential smoothing was 17,645.12 and for Box-Jenkins was 17,781.19.</t>
  </si>
  <si>
    <t>The rolling out-of-sample test used a maximum horizon of 8 and generated 36 forecasts for each method.</t>
  </si>
  <si>
    <t>Based on the lower MAD, I will use Exponential Smoothing.</t>
  </si>
  <si>
    <t>Model Details</t>
  </si>
  <si>
    <t>Expert selection</t>
  </si>
  <si>
    <t>Exponential smoothing: No trend, Multiplicative seasonality</t>
  </si>
  <si>
    <t>NM(0.760, 0.707)</t>
  </si>
  <si>
    <t>Confidence limits proportional to indexes</t>
  </si>
  <si>
    <t>Component</t>
  </si>
  <si>
    <t>Smoothing Wgt</t>
  </si>
  <si>
    <t>Final Value</t>
  </si>
  <si>
    <t>Level</t>
  </si>
  <si>
    <t>Seasonal</t>
  </si>
  <si>
    <t>Seasonal Indexes</t>
  </si>
  <si>
    <t>Periods 1-4</t>
  </si>
  <si>
    <t>Within-Sample Statistics</t>
  </si>
  <si>
    <t>Sample size</t>
  </si>
  <si>
    <t>No. parameters</t>
  </si>
  <si>
    <t>Mean</t>
  </si>
  <si>
    <t>Std. deviation</t>
  </si>
  <si>
    <t>R-square</t>
  </si>
  <si>
    <t>Adj. R-square</t>
  </si>
  <si>
    <t>Durbin-Watson</t>
  </si>
  <si>
    <t>Ljung-Box(18)</t>
  </si>
  <si>
    <t>5.9 P=0.00</t>
  </si>
  <si>
    <t>Forecast error</t>
  </si>
  <si>
    <t>BIC</t>
  </si>
  <si>
    <t>MAPE</t>
  </si>
  <si>
    <t>SMAPE</t>
  </si>
  <si>
    <t>RMSE</t>
  </si>
  <si>
    <t>MAD</t>
  </si>
  <si>
    <t>MAD/Mean Ratio</t>
  </si>
  <si>
    <t>Safety Stock</t>
  </si>
  <si>
    <t>Lead time</t>
  </si>
  <si>
    <t>DDLT</t>
  </si>
  <si>
    <t>97.5 Safety</t>
  </si>
  <si>
    <t>Reorder Point</t>
  </si>
  <si>
    <t>DDLT = Demand During Lead Time (i.e., cumulative forecast)</t>
  </si>
  <si>
    <t>Safety Stock = Cumulative confidence limit for lead time</t>
  </si>
  <si>
    <t>Reorder Point = DDLT + Safety Stock</t>
  </si>
  <si>
    <t>Out-of-Sample Rolling Evaluation</t>
  </si>
  <si>
    <t>Out-of-Sample Static Evaluation</t>
  </si>
  <si>
    <t>Date</t>
  </si>
  <si>
    <t>Forecast</t>
  </si>
  <si>
    <t>Actual</t>
  </si>
  <si>
    <t>MAD</t>
  </si>
  <si>
    <t>MAD/Mean Ratio</t>
  </si>
  <si>
    <t>APE</t>
  </si>
  <si>
    <t>MAPE</t>
  </si>
  <si>
    <t>2004-Q3</t>
  </si>
  <si>
    <t>2004-Q4</t>
  </si>
  <si>
    <t>Date</t>
  </si>
  <si>
    <t>SMAPE</t>
  </si>
  <si>
    <t>GMRAE</t>
  </si>
  <si>
    <t>2004-Q3</t>
  </si>
  <si>
    <t>2004-Q4</t>
  </si>
  <si>
    <t>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</si>
</sst>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indexed="0"/>
      <name val="Arial"/>
    </font>
    <font>
      <b/>
      <sz val="10"/>
      <color indexed="0"/>
      <name val="Arial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0"/>
      </patternFill>
    </fill>
    <fill>
      <patternFill patternType="solid">
        <fgColor indexed="45"/>
        <bgColor indexed="0"/>
      </patternFill>
    </fill>
    <fill>
      <patternFill patternType="solid">
        <fgColor indexed="47"/>
        <bgColor indexed="0"/>
      </patternFill>
    </fill>
    <fill>
      <patternFill patternType="solid">
        <fgColor indexed="1"/>
        <bgColor indexed="0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top"/>
    </xf>
  </cellStyleXfs>
  <cellXfs count="8">
    <xf numFmtId="0" fontId="0" fillId="0" borderId="0" xfId="0">
      <alignment vertical="top"/>
    </xf>
    <xf numFmtId="0" fontId="1" fillId="2" borderId="1" xfId="0" applyFont="1" applyFill="1" applyBorder="1" applyAlignment="1">
      <alignment horizontal="left" vertical="top"/>
    </xf>
    <xf numFmtId="0" fontId="0" fillId="3" borderId="0" xfId="0" applyFill="1" applyAlignment="1">
      <alignment horizontal="left" vertical="top"/>
    </xf>
    <xf numFmtId="0" fontId="0" fillId="4" borderId="0" xfId="0" applyFill="1" applyAlignment="1">
      <alignment horizontal="left" vertical="top"/>
    </xf>
    <xf numFmtId="0" fontId="1" fillId="3" borderId="0" xfId="0" applyFont="1" applyFill="1" applyAlignment="1">
      <alignment horizontal="left" vertical="top"/>
    </xf>
    <xf numFmtId="0" fontId="1" fillId="4" borderId="0" xfId="0" applyFont="1" applyFill="1" applyAlignment="1">
      <alignment horizontal="left" vertical="top"/>
    </xf>
    <xf numFmtId="0" fontId="0" fillId="5" borderId="0" xfId="0" applyFill="1" applyAlignment="1">
      <alignment horizontal="left" vertical="top"/>
    </xf>
    <xf numFmtId="2" fontId="0" fillId="0" borderId="0" xfId="0" applyNumberForma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CB6598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C6CFFE"/>
      <rgbColor rgb="0099CCFF"/>
      <rgbColor rgb="00F7F6FC"/>
      <rgbColor rgb="00CC99FF"/>
      <rgbColor rgb="00E0E0E0"/>
      <rgbColor rgb="003366FF"/>
      <rgbColor rgb="0033CCCC"/>
      <rgbColor rgb="003CD23C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28575</xdr:rowOff>
    </xdr:from>
    <xdr:to>
      <xdr:col>14</xdr:col>
      <xdr:colOff>600075</xdr:colOff>
      <xdr:row>15</xdr:row>
      <xdr:rowOff>142875</xdr:rowOff>
    </xdr:to>
    <xdr:pic>
      <xdr:nvPicPr>
        <xdr:cNvPr id="1025" name="Picture 1" descr="MHS">
          <a:extLst>
            <a:ext uri="{FF2B5EF4-FFF2-40B4-BE49-F238E27FC236}">
              <a16:creationId xmlns:a16="http://schemas.microsoft.com/office/drawing/2014/main" id="{00000000-0008-0000-01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8575"/>
          <a:ext cx="7362825" cy="2543175"/>
        </a:xfrm>
        <a:prstGeom prst="rect">
          <a:avLst/>
        </a:prstGeom>
        <a:noFill/>
        <a:ln w="12700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showOutlineSymbols="0" workbookViewId="0"/>
  </sheetViews>
  <sheetFormatPr defaultRowHeight="12.75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>
        <v>54573</v>
      </c>
      <c r="D2">
        <v>50242</v>
      </c>
      <c r="E2">
        <v>40303</v>
      </c>
    </row>
  </sheetData>
  <pageMargins left="0.75" right="0.75" top="1" bottom="1" header="0.5" footer="0.5"/>
  <pageSetup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7:R79"/>
  <sheetViews>
    <sheetView tabSelected="1" showOutlineSymbols="0" topLeftCell="A61" workbookViewId="0">
      <selection activeCell="R73" sqref="R73"/>
    </sheetView>
  </sheetViews>
  <sheetFormatPr defaultRowHeight="12.75" x14ac:dyDescent="0.2"/>
  <cols>
    <col min="1" max="2" width="1.5703125" customWidth="1"/>
    <col min="3" max="3" width="14.85546875" customWidth="1"/>
    <col min="4" max="4" width="1.5703125" customWidth="1"/>
    <col min="5" max="5" width="14.85546875" customWidth="1"/>
    <col min="6" max="6" width="1.5703125" customWidth="1"/>
    <col min="7" max="7" width="14.85546875" customWidth="1"/>
    <col min="8" max="8" width="1.5703125" customWidth="1"/>
    <col min="9" max="9" width="14.85546875" customWidth="1"/>
    <col min="10" max="10" width="1.5703125" customWidth="1"/>
    <col min="11" max="11" width="14.85546875" customWidth="1"/>
    <col min="12" max="12" width="1.5703125" customWidth="1"/>
    <col min="13" max="13" width="14.85546875" customWidth="1"/>
    <col min="14" max="14" width="1.5703125" customWidth="1"/>
  </cols>
  <sheetData>
    <row r="17" spans="1:15" x14ac:dyDescent="0.2">
      <c r="A17" s="1" t="s">
        <v>7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x14ac:dyDescent="0.2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15" x14ac:dyDescent="0.2">
      <c r="A19" s="6"/>
      <c r="B19" s="3" t="s">
        <v>8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spans="1:15" x14ac:dyDescent="0.2">
      <c r="A21" s="1" t="s">
        <v>9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x14ac:dyDescent="0.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spans="1:15" x14ac:dyDescent="0.2">
      <c r="A23" s="6"/>
      <c r="B23" s="3"/>
      <c r="C23" s="3" t="s">
        <v>10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">
      <c r="A24" s="6"/>
      <c r="B24" s="2"/>
      <c r="C24" s="2" t="s">
        <v>11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x14ac:dyDescent="0.2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spans="1:15" x14ac:dyDescent="0.2">
      <c r="A26" s="6"/>
      <c r="B26" s="3"/>
      <c r="C26" s="3" t="s">
        <v>12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x14ac:dyDescent="0.2">
      <c r="A27" s="6"/>
      <c r="B27" s="2"/>
      <c r="C27" s="2" t="s">
        <v>13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</row>
    <row r="28" spans="1:15" x14ac:dyDescent="0.2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</row>
    <row r="29" spans="1:15" x14ac:dyDescent="0.2">
      <c r="A29" s="6"/>
      <c r="B29" s="3"/>
      <c r="C29" s="3" t="s">
        <v>14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x14ac:dyDescent="0.2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</row>
    <row r="31" spans="1:15" x14ac:dyDescent="0.2">
      <c r="A31" s="1" t="s">
        <v>15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5" x14ac:dyDescent="0.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</row>
    <row r="33" spans="1:15" x14ac:dyDescent="0.2">
      <c r="A33" s="6"/>
      <c r="B33" s="5" t="s">
        <v>16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x14ac:dyDescent="0.2">
      <c r="A34" s="6"/>
      <c r="B34" s="2"/>
      <c r="C34" s="4" t="s">
        <v>17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</row>
    <row r="35" spans="1:15" x14ac:dyDescent="0.2">
      <c r="A35" s="6"/>
      <c r="B35" s="3"/>
      <c r="C35" s="5" t="s">
        <v>18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">
      <c r="A36" s="6"/>
      <c r="B36" s="2"/>
      <c r="C36" s="2" t="s">
        <v>19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</row>
    <row r="37" spans="1:15" x14ac:dyDescent="0.2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</row>
    <row r="38" spans="1:15" x14ac:dyDescent="0.2">
      <c r="A38" s="6"/>
      <c r="B38" s="5" t="s">
        <v>20</v>
      </c>
      <c r="C38" s="3"/>
      <c r="D38" s="5" t="s">
        <v>21</v>
      </c>
      <c r="E38" s="3"/>
      <c r="F38" s="3"/>
      <c r="G38" s="3"/>
      <c r="H38" s="5" t="s">
        <v>22</v>
      </c>
      <c r="I38" s="3"/>
      <c r="J38" s="3"/>
      <c r="K38" s="3"/>
      <c r="L38" s="3"/>
      <c r="M38" s="3"/>
      <c r="N38" s="3"/>
      <c r="O38" s="3"/>
    </row>
    <row r="39" spans="1:15" x14ac:dyDescent="0.2">
      <c r="A39" s="6"/>
      <c r="B39" s="2"/>
      <c r="C39" s="2" t="s">
        <v>23</v>
      </c>
      <c r="D39" s="2"/>
      <c r="E39" s="2">
        <v>0.76029999999999998</v>
      </c>
      <c r="F39" s="2"/>
      <c r="G39" s="2"/>
      <c r="H39" s="2"/>
      <c r="I39" s="2">
        <v>49112</v>
      </c>
      <c r="J39" s="2"/>
      <c r="K39" s="2"/>
      <c r="L39" s="2"/>
      <c r="M39" s="2"/>
      <c r="N39" s="2"/>
      <c r="O39" s="2"/>
    </row>
    <row r="40" spans="1:15" x14ac:dyDescent="0.2">
      <c r="A40" s="6"/>
      <c r="B40" s="3"/>
      <c r="C40" s="3" t="s">
        <v>24</v>
      </c>
      <c r="D40" s="3"/>
      <c r="E40" s="3">
        <v>0.70730000000000004</v>
      </c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">
      <c r="A41" s="6"/>
      <c r="B41" s="4" t="s">
        <v>25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</row>
    <row r="42" spans="1:15" x14ac:dyDescent="0.2">
      <c r="A42" s="6"/>
      <c r="B42" s="3"/>
      <c r="C42" s="3" t="s">
        <v>26</v>
      </c>
      <c r="D42" s="3"/>
      <c r="E42" s="3">
        <v>0.8206</v>
      </c>
      <c r="F42" s="3"/>
      <c r="G42" s="3">
        <v>1.0720000000000001</v>
      </c>
      <c r="H42" s="3"/>
      <c r="I42" s="3">
        <v>1.111</v>
      </c>
      <c r="J42" s="3"/>
      <c r="K42" s="3">
        <v>1.0229999999999999</v>
      </c>
      <c r="L42" s="3"/>
      <c r="M42" s="3"/>
      <c r="N42" s="3"/>
      <c r="O42" s="3"/>
    </row>
    <row r="43" spans="1:15" x14ac:dyDescent="0.2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</row>
    <row r="44" spans="1:15" x14ac:dyDescent="0.2">
      <c r="A44" s="1" t="s">
        <v>27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5" x14ac:dyDescent="0.2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</row>
    <row r="46" spans="1:15" x14ac:dyDescent="0.2">
      <c r="A46" s="6"/>
      <c r="B46" s="3"/>
      <c r="C46" s="3" t="s">
        <v>28</v>
      </c>
      <c r="D46" s="3"/>
      <c r="E46" s="3">
        <v>66</v>
      </c>
      <c r="F46" s="3"/>
      <c r="G46" s="3" t="s">
        <v>29</v>
      </c>
      <c r="H46" s="3"/>
      <c r="I46" s="3">
        <v>2</v>
      </c>
      <c r="J46" s="3"/>
      <c r="K46" s="3"/>
      <c r="L46" s="3"/>
      <c r="M46" s="3"/>
      <c r="N46" s="3"/>
      <c r="O46" s="3"/>
    </row>
    <row r="47" spans="1:15" x14ac:dyDescent="0.2">
      <c r="A47" s="6"/>
      <c r="B47" s="2"/>
      <c r="C47" s="2" t="s">
        <v>30</v>
      </c>
      <c r="D47" s="2"/>
      <c r="E47" s="2">
        <v>61078.79</v>
      </c>
      <c r="F47" s="2"/>
      <c r="G47" s="2" t="s">
        <v>31</v>
      </c>
      <c r="H47" s="2"/>
      <c r="I47" s="2">
        <v>12822.68</v>
      </c>
      <c r="J47" s="2"/>
      <c r="K47" s="2"/>
      <c r="L47" s="2"/>
      <c r="M47" s="2"/>
      <c r="N47" s="2"/>
      <c r="O47" s="2"/>
    </row>
    <row r="48" spans="1:15" x14ac:dyDescent="0.2">
      <c r="A48" s="6"/>
      <c r="B48" s="3"/>
      <c r="C48" s="3" t="s">
        <v>32</v>
      </c>
      <c r="D48" s="3"/>
      <c r="E48" s="3">
        <v>0.69</v>
      </c>
      <c r="F48" s="3"/>
      <c r="G48" s="3" t="s">
        <v>33</v>
      </c>
      <c r="H48" s="3"/>
      <c r="I48" s="3">
        <v>0.69</v>
      </c>
      <c r="J48" s="3"/>
      <c r="K48" s="3"/>
      <c r="L48" s="3"/>
      <c r="M48" s="3"/>
      <c r="N48" s="3"/>
      <c r="O48" s="3"/>
    </row>
    <row r="49" spans="1:15" x14ac:dyDescent="0.2">
      <c r="A49" s="6"/>
      <c r="B49" s="2"/>
      <c r="C49" s="2" t="s">
        <v>34</v>
      </c>
      <c r="D49" s="2"/>
      <c r="E49" s="2">
        <v>1.95</v>
      </c>
      <c r="F49" s="2"/>
      <c r="G49" s="2" t="s">
        <v>35</v>
      </c>
      <c r="H49" s="2"/>
      <c r="I49" s="2" t="s">
        <v>36</v>
      </c>
      <c r="J49" s="2"/>
      <c r="K49" s="2"/>
      <c r="L49" s="2"/>
      <c r="M49" s="2"/>
      <c r="N49" s="2"/>
      <c r="O49" s="2"/>
    </row>
    <row r="50" spans="1:15" x14ac:dyDescent="0.2">
      <c r="A50" s="6"/>
      <c r="B50" s="3"/>
      <c r="C50" s="3" t="s">
        <v>37</v>
      </c>
      <c r="D50" s="3"/>
      <c r="E50" s="3">
        <v>7168.93</v>
      </c>
      <c r="F50" s="3"/>
      <c r="G50" s="3" t="s">
        <v>38</v>
      </c>
      <c r="H50" s="3"/>
      <c r="I50" s="3">
        <v>7522.14</v>
      </c>
      <c r="J50" s="3"/>
      <c r="K50" s="3"/>
      <c r="L50" s="3"/>
      <c r="M50" s="3"/>
      <c r="N50" s="3"/>
      <c r="O50" s="3"/>
    </row>
    <row r="51" spans="1:15" x14ac:dyDescent="0.2">
      <c r="A51" s="6"/>
      <c r="B51" s="2"/>
      <c r="C51" s="2" t="s">
        <v>39</v>
      </c>
      <c r="D51" s="2"/>
      <c r="E51" s="2">
        <v>8.06</v>
      </c>
      <c r="F51" s="2"/>
      <c r="G51" s="2" t="s">
        <v>40</v>
      </c>
      <c r="H51" s="2"/>
      <c r="I51" s="2">
        <v>7.57</v>
      </c>
      <c r="J51" s="2"/>
      <c r="K51" s="2"/>
      <c r="L51" s="2"/>
      <c r="M51" s="2"/>
      <c r="N51" s="2"/>
      <c r="O51" s="2"/>
    </row>
    <row r="52" spans="1:15" x14ac:dyDescent="0.2">
      <c r="A52" s="6"/>
      <c r="B52" s="3"/>
      <c r="C52" s="3" t="s">
        <v>41</v>
      </c>
      <c r="D52" s="3"/>
      <c r="E52" s="3">
        <v>7059.48</v>
      </c>
      <c r="F52" s="3"/>
      <c r="G52" s="3" t="s">
        <v>42</v>
      </c>
      <c r="H52" s="3"/>
      <c r="I52" s="3">
        <v>4576.1499999999996</v>
      </c>
      <c r="J52" s="3"/>
      <c r="K52" s="3"/>
      <c r="L52" s="3"/>
      <c r="M52" s="3"/>
      <c r="N52" s="3"/>
      <c r="O52" s="3"/>
    </row>
    <row r="53" spans="1:15" x14ac:dyDescent="0.2">
      <c r="A53" s="6"/>
      <c r="B53" s="2"/>
      <c r="C53" s="2" t="s">
        <v>43</v>
      </c>
      <c r="D53" s="2"/>
      <c r="E53" s="2">
        <v>7.0000000000000007E-2</v>
      </c>
      <c r="F53" s="2"/>
      <c r="G53" s="2"/>
      <c r="H53" s="2"/>
      <c r="I53" s="2"/>
      <c r="J53" s="2"/>
      <c r="K53" s="2"/>
      <c r="L53" s="2"/>
      <c r="M53" s="2"/>
      <c r="N53" s="2"/>
      <c r="O53" s="2"/>
    </row>
    <row r="54" spans="1:15" x14ac:dyDescent="0.2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</row>
    <row r="55" spans="1:15" x14ac:dyDescent="0.2">
      <c r="A55" s="1" t="s">
        <v>44</v>
      </c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1:15" x14ac:dyDescent="0.2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</row>
    <row r="57" spans="1:15" x14ac:dyDescent="0.2">
      <c r="A57" s="6"/>
      <c r="B57" s="5" t="s">
        <v>45</v>
      </c>
      <c r="C57" s="3"/>
      <c r="D57" s="5" t="s">
        <v>46</v>
      </c>
      <c r="E57" s="3"/>
      <c r="F57" s="5" t="s">
        <v>47</v>
      </c>
      <c r="G57" s="3"/>
      <c r="H57" s="5" t="s">
        <v>48</v>
      </c>
      <c r="I57" s="3"/>
      <c r="J57" s="3"/>
      <c r="K57" s="3"/>
      <c r="L57" s="3"/>
      <c r="M57" s="3"/>
      <c r="N57" s="3"/>
      <c r="O57" s="3"/>
    </row>
    <row r="58" spans="1:15" x14ac:dyDescent="0.2">
      <c r="A58" s="6"/>
      <c r="B58" s="2"/>
      <c r="C58" s="2">
        <v>1</v>
      </c>
      <c r="D58" s="2"/>
      <c r="E58" s="2">
        <v>54573.16</v>
      </c>
      <c r="F58" s="2"/>
      <c r="G58" s="2">
        <v>18219.669999999998</v>
      </c>
      <c r="H58" s="2"/>
      <c r="I58" s="2">
        <v>72792.820000000007</v>
      </c>
      <c r="J58" s="2"/>
      <c r="K58" s="2"/>
      <c r="L58" s="2"/>
      <c r="M58" s="2"/>
      <c r="N58" s="2"/>
      <c r="O58" s="2"/>
    </row>
    <row r="59" spans="1:15" x14ac:dyDescent="0.2">
      <c r="A59" s="6"/>
      <c r="B59" s="3"/>
      <c r="C59" s="3">
        <v>2</v>
      </c>
      <c r="D59" s="3"/>
      <c r="E59" s="3">
        <v>104814.68</v>
      </c>
      <c r="F59" s="3"/>
      <c r="G59" s="3">
        <v>36193.33</v>
      </c>
      <c r="H59" s="3"/>
      <c r="I59" s="3">
        <v>141008.01</v>
      </c>
      <c r="J59" s="3"/>
      <c r="K59" s="3"/>
      <c r="L59" s="3"/>
      <c r="M59" s="3"/>
      <c r="N59" s="3"/>
      <c r="O59" s="3"/>
    </row>
    <row r="60" spans="1:15" x14ac:dyDescent="0.2">
      <c r="A60" s="6"/>
      <c r="B60" s="2"/>
      <c r="C60" s="4">
        <v>3</v>
      </c>
      <c r="D60" s="2"/>
      <c r="E60" s="4">
        <v>145118.10999999999</v>
      </c>
      <c r="F60" s="2"/>
      <c r="G60" s="4">
        <v>45623.01</v>
      </c>
      <c r="H60" s="2"/>
      <c r="I60" s="4">
        <v>190741.11</v>
      </c>
      <c r="J60" s="2"/>
      <c r="K60" s="4"/>
      <c r="L60" s="2"/>
      <c r="M60" s="2"/>
      <c r="N60" s="2"/>
      <c r="O60" s="2"/>
    </row>
    <row r="61" spans="1:15" x14ac:dyDescent="0.2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</row>
    <row r="62" spans="1:15" x14ac:dyDescent="0.2">
      <c r="A62" s="6"/>
      <c r="B62" s="3" t="s">
        <v>49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</row>
    <row r="63" spans="1:15" x14ac:dyDescent="0.2">
      <c r="A63" s="6"/>
      <c r="B63" s="2" t="s">
        <v>50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</row>
    <row r="64" spans="1:15" x14ac:dyDescent="0.2">
      <c r="A64" s="6"/>
      <c r="B64" s="3" t="s">
        <v>51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</row>
    <row r="65" spans="1:18" x14ac:dyDescent="0.2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</row>
    <row r="66" spans="1:18" x14ac:dyDescent="0.2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</row>
    <row r="67" spans="1:18" x14ac:dyDescent="0.2">
      <c r="A67" s="1" t="s">
        <v>52</v>
      </c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</row>
    <row r="68" spans="1:18" x14ac:dyDescent="0.2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</row>
    <row r="69" spans="1:18" x14ac:dyDescent="0.2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</row>
    <row r="70" spans="1:18" x14ac:dyDescent="0.2">
      <c r="A70" s="1" t="s">
        <v>53</v>
      </c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spans="1:18" x14ac:dyDescent="0.2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</row>
    <row r="72" spans="1:18" x14ac:dyDescent="0.2">
      <c r="A72" s="6"/>
      <c r="B72" s="5" t="s">
        <v>54</v>
      </c>
      <c r="C72" s="3"/>
      <c r="D72" s="3"/>
      <c r="E72" s="5" t="s">
        <v>55</v>
      </c>
      <c r="F72" s="3"/>
      <c r="G72" s="5" t="s">
        <v>56</v>
      </c>
      <c r="H72" s="3"/>
      <c r="I72" s="5" t="s">
        <v>57</v>
      </c>
      <c r="J72" s="3"/>
      <c r="K72" s="5" t="s">
        <v>58</v>
      </c>
      <c r="L72" s="3"/>
      <c r="M72" s="5" t="s">
        <v>59</v>
      </c>
      <c r="N72" s="3"/>
      <c r="O72" s="5" t="s">
        <v>60</v>
      </c>
      <c r="P72" s="3" t="s">
        <v>68</v>
      </c>
      <c r="R72" t="s">
        <v>41</v>
      </c>
    </row>
    <row r="73" spans="1:18" x14ac:dyDescent="0.2">
      <c r="A73" s="6"/>
      <c r="B73" s="2"/>
      <c r="C73" s="2" t="s">
        <v>61</v>
      </c>
      <c r="D73" s="2"/>
      <c r="E73" s="2">
        <v>54573.16</v>
      </c>
      <c r="F73" s="2"/>
      <c r="G73" s="2">
        <v>52200</v>
      </c>
      <c r="H73" s="2"/>
      <c r="I73" s="2">
        <v>2373.16</v>
      </c>
      <c r="J73" s="2"/>
      <c r="K73" s="2">
        <v>0.05</v>
      </c>
      <c r="L73" s="2"/>
      <c r="M73" s="2">
        <v>4.55</v>
      </c>
      <c r="N73" s="2"/>
      <c r="O73" s="2">
        <v>4.55</v>
      </c>
      <c r="P73">
        <f>(G73-E73)^2</f>
        <v>5631888.3856000165</v>
      </c>
      <c r="R73" s="7">
        <f>SQRT(AVEDEV(P73:P74))</f>
        <v>2570.6913004870848</v>
      </c>
    </row>
    <row r="74" spans="1:18" x14ac:dyDescent="0.2">
      <c r="A74" s="6"/>
      <c r="B74" s="3"/>
      <c r="C74" s="3" t="s">
        <v>62</v>
      </c>
      <c r="D74" s="3"/>
      <c r="E74" s="3">
        <v>50241.52</v>
      </c>
      <c r="F74" s="3"/>
      <c r="G74" s="3">
        <v>45900</v>
      </c>
      <c r="H74" s="3"/>
      <c r="I74" s="3">
        <v>3357.34</v>
      </c>
      <c r="J74" s="3"/>
      <c r="K74" s="3">
        <v>7.0000000000000007E-2</v>
      </c>
      <c r="L74" s="3"/>
      <c r="M74" s="3">
        <v>9.4600000000000009</v>
      </c>
      <c r="N74" s="3"/>
      <c r="O74" s="3">
        <v>7</v>
      </c>
      <c r="P74">
        <f>(G74-E74)^2</f>
        <v>18848795.910399973</v>
      </c>
    </row>
    <row r="75" spans="1:18" x14ac:dyDescent="0.2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</row>
    <row r="76" spans="1:18" x14ac:dyDescent="0.2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</row>
    <row r="77" spans="1:18" x14ac:dyDescent="0.2">
      <c r="A77" s="6"/>
      <c r="B77" s="5" t="s">
        <v>63</v>
      </c>
      <c r="C77" s="3"/>
      <c r="D77" s="3"/>
      <c r="E77" s="5" t="s">
        <v>64</v>
      </c>
      <c r="F77" s="3"/>
      <c r="G77" s="5" t="s">
        <v>65</v>
      </c>
      <c r="H77" s="3"/>
      <c r="I77" s="3"/>
      <c r="J77" s="3"/>
      <c r="K77" s="3"/>
      <c r="L77" s="3"/>
      <c r="M77" s="3"/>
      <c r="N77" s="3"/>
      <c r="O77" s="3"/>
    </row>
    <row r="78" spans="1:18" x14ac:dyDescent="0.2">
      <c r="A78" s="6"/>
      <c r="B78" s="2"/>
      <c r="C78" s="2" t="s">
        <v>66</v>
      </c>
      <c r="D78" s="2"/>
      <c r="E78" s="2">
        <v>4.45</v>
      </c>
      <c r="F78" s="2"/>
      <c r="G78" s="2">
        <v>23.73</v>
      </c>
      <c r="H78" s="2"/>
      <c r="I78" s="2"/>
      <c r="J78" s="2"/>
      <c r="K78" s="2"/>
      <c r="L78" s="2"/>
      <c r="M78" s="2"/>
      <c r="N78" s="2"/>
      <c r="O78" s="2"/>
    </row>
    <row r="79" spans="1:18" x14ac:dyDescent="0.2">
      <c r="A79" s="6"/>
      <c r="B79" s="3"/>
      <c r="C79" s="3" t="s">
        <v>67</v>
      </c>
      <c r="D79" s="3"/>
      <c r="E79" s="3">
        <v>6.74</v>
      </c>
      <c r="F79" s="3"/>
      <c r="G79" s="3">
        <v>4.01</v>
      </c>
      <c r="H79" s="3"/>
      <c r="I79" s="3"/>
      <c r="J79" s="3"/>
      <c r="K79" s="3"/>
      <c r="L79" s="3"/>
      <c r="M79" s="3"/>
      <c r="N79" s="3"/>
      <c r="O79" s="3"/>
    </row>
  </sheetData>
  <pageMargins left="0.75" right="0.75" top="1" bottom="1" header="0.5" footer="0.5"/>
  <pageSetup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Numeric Output</vt:lpstr>
      <vt:lpstr>MHS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Forecast Pro</dc:creator>
  <cp:lastModifiedBy>sanchit.singh</cp:lastModifiedBy>
  <dcterms:created xsi:type="dcterms:W3CDTF">2018-10-11T20:38:08Z</dcterms:created>
  <dcterms:modified xsi:type="dcterms:W3CDTF">2018-10-11T21:00:20Z</dcterms:modified>
</cp:coreProperties>
</file>