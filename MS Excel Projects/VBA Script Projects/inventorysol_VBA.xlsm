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nchit.singh\Documents\GitHub\College-Projects\MS Excel Projects\VBA Script Projects\"/>
    </mc:Choice>
  </mc:AlternateContent>
  <xr:revisionPtr revIDLastSave="0" documentId="8_{BDCDE747-61BF-4311-8177-62D8464F1803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Sheet1" sheetId="1" r:id="rId1"/>
  </sheets>
  <definedNames>
    <definedName name="solver_adj" localSheetId="0" hidden="1">Sheet1!$C$3:$D$6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100</definedName>
    <definedName name="solver_lhs1" localSheetId="0" hidden="1">Sheet1!$C$3:$C$6</definedName>
    <definedName name="solver_lhs2" localSheetId="0" hidden="1">Sheet1!$D$3:$D$6</definedName>
    <definedName name="solver_lhs3" localSheetId="0" hidden="1">Sheet1!$E$3:$E$6</definedName>
    <definedName name="solver_lin" localSheetId="0" hidden="1">1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Sheet1!$G$7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1</definedName>
    <definedName name="solver_rel3" localSheetId="0" hidden="1">3</definedName>
    <definedName name="solver_rhs1" localSheetId="0" hidden="1">100</definedName>
    <definedName name="solver_rhs2" localSheetId="0" hidden="1">50</definedName>
    <definedName name="solver_rhs3" localSheetId="0" hidden="1">0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" l="1"/>
  <c r="E4" i="1" s="1"/>
  <c r="E5" i="1" s="1"/>
  <c r="E6" i="1" s="1"/>
  <c r="C8" i="1"/>
  <c r="D8" i="1"/>
  <c r="E8" i="1" l="1"/>
  <c r="G7" i="1" s="1"/>
</calcChain>
</file>

<file path=xl/sharedStrings.xml><?xml version="1.0" encoding="utf-8"?>
<sst xmlns="http://schemas.openxmlformats.org/spreadsheetml/2006/main" count="13" uniqueCount="13">
  <si>
    <t>Demand</t>
  </si>
  <si>
    <t>Regular</t>
  </si>
  <si>
    <t>Overtime</t>
  </si>
  <si>
    <t>Inventory</t>
  </si>
  <si>
    <t>beginning inventory</t>
  </si>
  <si>
    <t>Q1</t>
  </si>
  <si>
    <t>Q2</t>
  </si>
  <si>
    <t>Q3</t>
  </si>
  <si>
    <t>Q4</t>
  </si>
  <si>
    <t>cost</t>
  </si>
  <si>
    <t>Cost:</t>
  </si>
  <si>
    <t>Total Cost (in Pink) (G7)</t>
  </si>
  <si>
    <t>Regular (C8)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</si>
</sst>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4"/>
      <name val="Arial"/>
      <family val="2"/>
    </font>
    <font>
      <sz val="14"/>
      <color indexed="9"/>
      <name val="Arial"/>
      <family val="2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2" borderId="0" xfId="0" applyFont="1" applyFill="1"/>
    <xf numFmtId="0" fontId="2" fillId="3" borderId="0" xfId="0" applyFont="1" applyFill="1"/>
    <xf numFmtId="2" fontId="1" fillId="0" borderId="0" xfId="0" applyNumberFormat="1" applyFont="1"/>
    <xf numFmtId="0" fontId="3" fillId="0" borderId="2" xfId="0" applyFont="1" applyBorder="1"/>
    <xf numFmtId="0" fontId="3" fillId="0" borderId="2" xfId="0" applyFont="1" applyBorder="1" applyAlignment="1">
      <alignment wrapText="1"/>
    </xf>
    <xf numFmtId="0" fontId="3" fillId="0" borderId="2" xfId="0" applyFont="1" applyBorder="1" applyAlignment="1">
      <alignment vertical="center"/>
    </xf>
    <xf numFmtId="0" fontId="1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5</xdr:col>
      <xdr:colOff>581025</xdr:colOff>
      <xdr:row>14</xdr:row>
      <xdr:rowOff>123825</xdr:rowOff>
    </xdr:to>
    <xdr:sp macro="" textlink="">
      <xdr:nvSpPr>
        <xdr:cNvPr id="1025" name="Text 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 txBox="1">
          <a:spLocks noChangeArrowheads="1"/>
        </xdr:cNvSpPr>
      </xdr:nvSpPr>
      <xdr:spPr bwMode="auto">
        <a:xfrm>
          <a:off x="0" y="2066925"/>
          <a:ext cx="4133850" cy="1266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/>
        </a:ln>
      </xdr:spPr>
      <xdr:txBody>
        <a:bodyPr vertOverflow="clip" wrap="square" lIns="36576" tIns="32004" rIns="0" bIns="0" anchor="t" upright="1"/>
        <a:lstStyle/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Find the best production plan for the next 4 quarters satisfying the expected demand each quarter.</a:t>
          </a:r>
        </a:p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Limit on regular time 100 units per quarter.</a:t>
          </a:r>
        </a:p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Limit on Overtime 50 units per quarter.</a:t>
          </a:r>
        </a:p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Minimize total cost of production and inventory.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"/>
  <sheetViews>
    <sheetView tabSelected="1" workbookViewId="0">
      <selection activeCell="I12" sqref="I12"/>
    </sheetView>
  </sheetViews>
  <sheetFormatPr defaultRowHeight="18" x14ac:dyDescent="0.25"/>
  <cols>
    <col min="1" max="1" width="6.42578125" style="1" customWidth="1"/>
    <col min="2" max="2" width="11.5703125" style="1" customWidth="1"/>
    <col min="3" max="3" width="10.7109375" style="1" customWidth="1"/>
    <col min="4" max="5" width="12.28515625" style="1" customWidth="1"/>
    <col min="6" max="6" width="24.85546875" style="1" customWidth="1"/>
    <col min="7" max="10" width="9.140625" style="1"/>
    <col min="11" max="11" width="18.42578125" style="1" bestFit="1" customWidth="1"/>
    <col min="12" max="12" width="17.28515625" style="1" bestFit="1" customWidth="1"/>
    <col min="13" max="16384" width="9.140625" style="1"/>
  </cols>
  <sheetData>
    <row r="1" spans="1:12" ht="18.75" thickBot="1" x14ac:dyDescent="0.3">
      <c r="B1" s="2" t="s">
        <v>0</v>
      </c>
      <c r="C1" s="2" t="s">
        <v>1</v>
      </c>
      <c r="D1" s="2" t="s">
        <v>2</v>
      </c>
      <c r="E1" s="2" t="s">
        <v>3</v>
      </c>
    </row>
    <row r="2" spans="1:12" ht="36" x14ac:dyDescent="0.25">
      <c r="E2" s="1">
        <v>0</v>
      </c>
      <c r="F2" s="1" t="s">
        <v>4</v>
      </c>
      <c r="J2" s="6"/>
      <c r="K2" s="7" t="s">
        <v>11</v>
      </c>
      <c r="L2" s="8" t="s">
        <v>12</v>
      </c>
    </row>
    <row r="3" spans="1:12" x14ac:dyDescent="0.25">
      <c r="A3" s="1" t="s">
        <v>5</v>
      </c>
      <c r="B3" s="1">
        <v>80</v>
      </c>
      <c r="C3" s="3">
        <v>30</v>
      </c>
      <c r="D3" s="3">
        <v>50</v>
      </c>
      <c r="E3" s="5">
        <f>E2+C3+D3-B3</f>
        <v>0</v>
      </c>
      <c r="J3" s="9">
        <v>25</v>
      </c>
      <c r="K3" s="9">
        <v>11690</v>
      </c>
      <c r="L3" s="9">
        <v>380</v>
      </c>
    </row>
    <row r="4" spans="1:12" x14ac:dyDescent="0.25">
      <c r="A4" s="1" t="s">
        <v>6</v>
      </c>
      <c r="B4" s="1">
        <v>80</v>
      </c>
      <c r="C4" s="3">
        <v>30</v>
      </c>
      <c r="D4" s="3">
        <v>50</v>
      </c>
      <c r="E4" s="5">
        <f>E3+C4+D4-B4</f>
        <v>0</v>
      </c>
      <c r="J4" s="9">
        <v>26</v>
      </c>
      <c r="K4" s="9">
        <v>12070</v>
      </c>
      <c r="L4" s="9">
        <v>380</v>
      </c>
    </row>
    <row r="5" spans="1:12" x14ac:dyDescent="0.25">
      <c r="A5" s="1" t="s">
        <v>7</v>
      </c>
      <c r="B5" s="1">
        <v>130</v>
      </c>
      <c r="C5" s="3">
        <v>90</v>
      </c>
      <c r="D5" s="3">
        <v>50</v>
      </c>
      <c r="E5" s="5">
        <f>E4+C5+D5-B5</f>
        <v>10</v>
      </c>
      <c r="J5" s="9">
        <v>27</v>
      </c>
      <c r="K5" s="9">
        <v>12450</v>
      </c>
      <c r="L5" s="9">
        <v>380</v>
      </c>
    </row>
    <row r="6" spans="1:12" x14ac:dyDescent="0.25">
      <c r="A6" s="1" t="s">
        <v>8</v>
      </c>
      <c r="B6" s="1">
        <v>160</v>
      </c>
      <c r="C6" s="3">
        <v>100</v>
      </c>
      <c r="D6" s="3">
        <v>50</v>
      </c>
      <c r="E6" s="5">
        <f>E5+C6+D6-B6</f>
        <v>0</v>
      </c>
      <c r="J6" s="9">
        <v>28</v>
      </c>
      <c r="K6" s="9">
        <v>12810</v>
      </c>
      <c r="L6" s="9">
        <v>360</v>
      </c>
    </row>
    <row r="7" spans="1:12" x14ac:dyDescent="0.25">
      <c r="A7" s="1" t="s">
        <v>9</v>
      </c>
      <c r="C7" s="1">
        <v>32</v>
      </c>
      <c r="D7" s="1">
        <v>30</v>
      </c>
      <c r="E7" s="1">
        <v>3</v>
      </c>
      <c r="F7" s="1" t="s">
        <v>10</v>
      </c>
      <c r="G7" s="4">
        <f>SUMPRODUCT(C7:E7,C8:E8)</f>
        <v>14030</v>
      </c>
      <c r="J7" s="9">
        <v>29</v>
      </c>
      <c r="K7" s="9">
        <v>13170</v>
      </c>
      <c r="L7" s="9">
        <v>360</v>
      </c>
    </row>
    <row r="8" spans="1:12" x14ac:dyDescent="0.25">
      <c r="C8" s="1">
        <f>SUM(C3:C6)</f>
        <v>250</v>
      </c>
      <c r="D8" s="1">
        <f>SUM(D3:D6)</f>
        <v>200</v>
      </c>
      <c r="E8" s="1">
        <f>SUM(E3:E6)</f>
        <v>10</v>
      </c>
      <c r="J8" s="9">
        <v>30</v>
      </c>
      <c r="K8" s="9">
        <v>13530</v>
      </c>
      <c r="L8" s="9">
        <v>250</v>
      </c>
    </row>
    <row r="9" spans="1:12" x14ac:dyDescent="0.25">
      <c r="J9" s="9">
        <v>31</v>
      </c>
      <c r="K9" s="9">
        <v>13780</v>
      </c>
      <c r="L9" s="9">
        <v>250</v>
      </c>
    </row>
    <row r="10" spans="1:12" x14ac:dyDescent="0.25">
      <c r="J10" s="9">
        <v>32</v>
      </c>
      <c r="K10" s="9">
        <v>14030</v>
      </c>
      <c r="L10" s="9">
        <v>250</v>
      </c>
    </row>
  </sheetData>
  <pageMargins left="0.75" right="0.75" top="1" bottom="1" header="0.5" footer="0.5"/>
  <pageSetup orientation="portrait" r:id="rId1"/>
  <headerFooter alignWithMargins="0">
    <oddHeader>&amp;A</oddHeader>
    <oddFooter>Page &amp;P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CSUF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Sanchit Singh</dc:creator>
  <cp:lastModifiedBy>sanchit.singh</cp:lastModifiedBy>
  <dcterms:created xsi:type="dcterms:W3CDTF">1997-01-08T23:05:49Z</dcterms:created>
  <dcterms:modified xsi:type="dcterms:W3CDTF">2019-07-23T01:36:06Z</dcterms:modified>
</cp:coreProperties>
</file>